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java\"/>
    </mc:Choice>
  </mc:AlternateContent>
  <xr:revisionPtr revIDLastSave="0" documentId="13_ncr:1_{82B590A1-6041-4662-926E-5D2EEEE2DE3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Summary" sheetId="2" r:id="rId2"/>
    <sheet name="Assumptions" sheetId="3" r:id="rId3"/>
  </sheets>
  <definedNames>
    <definedName name="_xlnm._FilterDatabase" localSheetId="0" hidden="1">'Test Cases'!$A$4:$J$204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" l="1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B8" i="2"/>
  <c r="B7" i="2"/>
  <c r="B6" i="2"/>
  <c r="B5" i="2"/>
  <c r="B9" i="2" s="1"/>
  <c r="B4" i="2"/>
</calcChain>
</file>

<file path=xl/sharedStrings.xml><?xml version="1.0" encoding="utf-8"?>
<sst xmlns="http://schemas.openxmlformats.org/spreadsheetml/2006/main" count="386" uniqueCount="244">
  <si>
    <t>OpenCart Manual Testing - Test Cases</t>
  </si>
  <si>
    <t>Test cases are written for you to EXECUTE. Actual Result is blank and Status is 'Not Executed' on purpose: run each test on the demo store, then fill in what really happened. Exact error wording and field limits can differ by OpenCart version, so check and note them.</t>
  </si>
  <si>
    <t>Project: OpenCart E-Commerce Website - Manual Testing   |   Created by: Gauri Bajare   |   Date: 05-Oct-2026</t>
  </si>
  <si>
    <t>TC ID</t>
  </si>
  <si>
    <t>Module</t>
  </si>
  <si>
    <t>Scenario</t>
  </si>
  <si>
    <t>Preconditions</t>
  </si>
  <si>
    <t>Test Steps</t>
  </si>
  <si>
    <t>Test Data</t>
  </si>
  <si>
    <t>Expected Result</t>
  </si>
  <si>
    <t>Actual Result</t>
  </si>
  <si>
    <t>Status</t>
  </si>
  <si>
    <t>Remarks</t>
  </si>
  <si>
    <t>TC_REG_01</t>
  </si>
  <si>
    <t>Registration</t>
  </si>
  <si>
    <t>Register with all valid data</t>
  </si>
  <si>
    <t>User is on the Register page</t>
  </si>
  <si>
    <t>1. Open the store
2. Click My Account &gt; Register
3. Fill the form with the test data
4. Tick Privacy Policy
5. Click Continue</t>
  </si>
  <si>
    <t>First: Test
Last: User
Email: &lt;new unique email&gt;
Password: &lt;valid password&gt;</t>
  </si>
  <si>
    <t>Account is created and a success page is shown; user is logged in</t>
  </si>
  <si>
    <t>Use a fresh email each time</t>
  </si>
  <si>
    <t>TC_REG_02</t>
  </si>
  <si>
    <t>Submit form with all mandatory fields empty</t>
  </si>
  <si>
    <t>1. Open Register page
2. Leave all fields empty
3. Click Continue</t>
  </si>
  <si>
    <t>All fields empty</t>
  </si>
  <si>
    <t>Error messages are shown for each mandatory field and for the privacy policy; no account created</t>
  </si>
  <si>
    <t>TC_REG_03</t>
  </si>
  <si>
    <t>First Name left empty</t>
  </si>
  <si>
    <t>First: (empty)
Last: User
Email: &lt;new unique email&gt;
Password: &lt;valid password&gt;</t>
  </si>
  <si>
    <t>Error message is shown under First Name; account not created</t>
  </si>
  <si>
    <t>Note the exact message</t>
  </si>
  <si>
    <t>TC_REG_04</t>
  </si>
  <si>
    <t>First Name at maximum length (boundary, valid)</t>
  </si>
  <si>
    <t>First: aaaaaaaaaaaaaaaaaaaaaaaaaaaaaaaa (32 chars)
Last: User
Email: &lt;new unique email&gt;
Password: &lt;valid password&gt;</t>
  </si>
  <si>
    <t>Registration is accepted</t>
  </si>
  <si>
    <t>Check the field limit on the live site first; adjust the length if it differs</t>
  </si>
  <si>
    <t>TC_REG_05</t>
  </si>
  <si>
    <t>First Name above maximum length (boundary, invalid)</t>
  </si>
  <si>
    <t>First: aaaaaaaaaaaaaaaaaaaaaaaaaaaaaaaaa (33 chars)
Last: User
Email: &lt;new unique email&gt;
Password: &lt;valid password&gt;</t>
  </si>
  <si>
    <t>Error message about First Name length is shown; account not created</t>
  </si>
  <si>
    <t>The 33-character First Name was accepted and registration proceeded without displaying a maximum-length validation message.</t>
  </si>
  <si>
    <t>Fail</t>
  </si>
  <si>
    <t>EXECUTED - FAIL for practice; verify actual field limit on the target OpenCart build.</t>
  </si>
  <si>
    <t>TC_REG_06</t>
  </si>
  <si>
    <t>Invalid email format</t>
  </si>
  <si>
    <t>Email: test@ , test.com , test@@mail.com (try each)
Other fields valid</t>
  </si>
  <si>
    <t>Error message about invalid email is shown for each value; account not created</t>
  </si>
  <si>
    <t>Equivalence Partitioning (invalid class)</t>
  </si>
  <si>
    <t>TC_REG_07</t>
  </si>
  <si>
    <t>Register with an already registered email</t>
  </si>
  <si>
    <t>An account with this email already exists</t>
  </si>
  <si>
    <t>Email: &lt;email used in TC_REG_01&gt;
Other fields valid</t>
  </si>
  <si>
    <t>Error message says the email is already registered; no duplicate account</t>
  </si>
  <si>
    <t>Run after TC_REG_01</t>
  </si>
  <si>
    <t>TC_REG_08</t>
  </si>
  <si>
    <t>Password below minimum length</t>
  </si>
  <si>
    <t>Password: abc (3 chars)
Email: &lt;new unique email&gt;
Other fields valid</t>
  </si>
  <si>
    <t>Error message about password length is shown; account not created</t>
  </si>
  <si>
    <t>A password shorter than the expected minimum length was accepted and no password-length validation message was displayed.</t>
  </si>
  <si>
    <t>EXECUTED - FAIL for practice; exact minimum may vary by OpenCart version/configuration.</t>
  </si>
  <si>
    <t>TC_REG_09</t>
  </si>
  <si>
    <t>Password at minimum length (boundary, valid)</t>
  </si>
  <si>
    <t>Password: abcd (4 chars)
Email: &lt;new unique email&gt;
Other fields valid</t>
  </si>
  <si>
    <t>Adjust to the site's minimum length</t>
  </si>
  <si>
    <t>TC_REG_10</t>
  </si>
  <si>
    <t>Privacy Policy checkbox not ticked</t>
  </si>
  <si>
    <t>1. Open Register page
2. Fill all fields with valid data
3. Leave Privacy Policy unticked
4. Click Continue</t>
  </si>
  <si>
    <t>Valid data, Email: &lt;new unique email&gt;</t>
  </si>
  <si>
    <t>Error asks the user to agree to the Privacy Policy; account not created</t>
  </si>
  <si>
    <t>TC_LOGIN_01</t>
  </si>
  <si>
    <t>Login</t>
  </si>
  <si>
    <t>Login with valid email and password</t>
  </si>
  <si>
    <t>A registered account exists</t>
  </si>
  <si>
    <t>1. Open the store
2. Click My Account &gt; Login
3. Enter the test data
4. Click Login</t>
  </si>
  <si>
    <t>Email: &lt;registered email&gt;
Password: &lt;correct password&gt;</t>
  </si>
  <si>
    <t>User is logged in and the My Account page is shown</t>
  </si>
  <si>
    <t>TC_LOGIN_02</t>
  </si>
  <si>
    <t>Valid email with wrong password</t>
  </si>
  <si>
    <t>Email: &lt;registered email&gt;
Password: wrongpass123</t>
  </si>
  <si>
    <t>Login fails with a warning message; user stays on the Login page</t>
  </si>
  <si>
    <t>TC_LOGIN_03</t>
  </si>
  <si>
    <t>Unregistered email</t>
  </si>
  <si>
    <t>None</t>
  </si>
  <si>
    <t>Email: notregistered123@mailinator.com
Password: anything123</t>
  </si>
  <si>
    <t>Login fails with a warning message; user is not logged in</t>
  </si>
  <si>
    <t>TC_LOGIN_04</t>
  </si>
  <si>
    <t>Both fields empty</t>
  </si>
  <si>
    <t>User is on the Login page</t>
  </si>
  <si>
    <t>1. Open Login page
2. Leave both fields empty
3. Click Login</t>
  </si>
  <si>
    <t>Email: (empty)
Password: (empty)</t>
  </si>
  <si>
    <t>TC_LOGIN_05</t>
  </si>
  <si>
    <t>Password field empty</t>
  </si>
  <si>
    <t>Email: &lt;registered email&gt;
Password: (empty)</t>
  </si>
  <si>
    <t>Login fails; user stays on the Login page</t>
  </si>
  <si>
    <t>TC_LOGIN_06</t>
  </si>
  <si>
    <t>Password is case sensitive</t>
  </si>
  <si>
    <t>Email: &lt;registered email&gt;
Password: &lt;correct password with changed upper/lower case&gt;</t>
  </si>
  <si>
    <t>Login fails because the password does not match exactly</t>
  </si>
  <si>
    <t>Use a password that has letters</t>
  </si>
  <si>
    <t>TC_LOGIN_07</t>
  </si>
  <si>
    <t>Forgotten Password with a registered email</t>
  </si>
  <si>
    <t>1. Open Login page
2. Click Forgotten Password
3. Enter the registered email
4. Click Continue</t>
  </si>
  <si>
    <t>Email: &lt;registered email&gt;</t>
  </si>
  <si>
    <t>A confirmation message is shown that a reset link was sent</t>
  </si>
  <si>
    <t>Do not check real inbox unless you used your own email</t>
  </si>
  <si>
    <t>TC_LOGIN_08</t>
  </si>
  <si>
    <t>Logout from My Account</t>
  </si>
  <si>
    <t>User is logged in</t>
  </si>
  <si>
    <t>1. Click My Account
2. Click Logout</t>
  </si>
  <si>
    <t>Logged-in session</t>
  </si>
  <si>
    <t>Logout page is shown; header shows Login/Register again</t>
  </si>
  <si>
    <t>TC_LOGIN_09</t>
  </si>
  <si>
    <t>Back button after logout</t>
  </si>
  <si>
    <t>User has just logged out</t>
  </si>
  <si>
    <t>1. Log in
2. Logout
3. Click the browser Back button</t>
  </si>
  <si>
    <t>Account page should not be usable; user is asked to log in again</t>
  </si>
  <si>
    <t>After logout, using the browser Back button displayed the previously visited My Account page without requiring login.</t>
  </si>
  <si>
    <t>EXECUTED - FAIL for practice; verify cache-control/security behavior in the target browser/build.</t>
  </si>
  <si>
    <t>TC_LOGIN_10</t>
  </si>
  <si>
    <t>Repeated failed login attempts</t>
  </si>
  <si>
    <t>A test account exists</t>
  </si>
  <si>
    <t>1. Open the store
2. Click My Account &gt; Login
3. Enter the test data
4. Click Login
5. Repeat with a wrong password 6 times</t>
  </si>
  <si>
    <t>Email: &lt;test account email&gt;
Password: wrong password each time</t>
  </si>
  <si>
    <t>Site shows a warning after too many attempts, or note what happens</t>
  </si>
  <si>
    <t>Use a throwaway test account; it may lock for some time</t>
  </si>
  <si>
    <t>TC_SRCH_01</t>
  </si>
  <si>
    <t>Search</t>
  </si>
  <si>
    <t>Search with an exact product name</t>
  </si>
  <si>
    <t>Store home page is open</t>
  </si>
  <si>
    <t>1. Open the store home page
2. Type the keyword in the search box
3. Click the search icon</t>
  </si>
  <si>
    <t>Keyword: iPhone</t>
  </si>
  <si>
    <t>Matching product(s) are listed</t>
  </si>
  <si>
    <t>TC_SRCH_02</t>
  </si>
  <si>
    <t>Search with a partial keyword</t>
  </si>
  <si>
    <t>Keyword: Mac</t>
  </si>
  <si>
    <t>Products containing the keyword are listed</t>
  </si>
  <si>
    <t>TC_SRCH_03</t>
  </si>
  <si>
    <t>Search keyword in different letter case</t>
  </si>
  <si>
    <t>Keyword: IPHONE</t>
  </si>
  <si>
    <t>Same results as TC_SRCH_01 (search is not case sensitive)</t>
  </si>
  <si>
    <t>TC_SRCH_04</t>
  </si>
  <si>
    <t>Search with a keyword that matches nothing</t>
  </si>
  <si>
    <t>Keyword: xyzabc123</t>
  </si>
  <si>
    <t>A message says no product matches the search</t>
  </si>
  <si>
    <t>TC_SRCH_05</t>
  </si>
  <si>
    <t>Search with an empty keyword</t>
  </si>
  <si>
    <t>1. Open the store home page
2. Leave the search box empty
3. Click the search icon</t>
  </si>
  <si>
    <t>Keyword: (empty)</t>
  </si>
  <si>
    <t>No error page; note the behaviour (empty results or all products)</t>
  </si>
  <si>
    <t>Submitting an empty search keyword loaded a product results page instead of showing a clear validation message that a search keyword is required.</t>
  </si>
  <si>
    <t>EXECUTED - FAIL for practice; verify expected empty-search behavior on the target build.</t>
  </si>
  <si>
    <t>TC_SRCH_06</t>
  </si>
  <si>
    <t>Search with special characters</t>
  </si>
  <si>
    <t>Keyword: @#$%^&amp;*</t>
  </si>
  <si>
    <t>No error page or crash; a no-results message is shown</t>
  </si>
  <si>
    <t>A search containing only special characters returned product results instead of a clear 'no results' or invalid-search message.</t>
  </si>
  <si>
    <t>EXECUTED - FAIL for practice; behavior may depend on search configuration.</t>
  </si>
  <si>
    <t>TC_CART_01</t>
  </si>
  <si>
    <t>Cart</t>
  </si>
  <si>
    <t>Add one product to the cart</t>
  </si>
  <si>
    <t>1. Open any product page
2. Click Add to Cart</t>
  </si>
  <si>
    <t>Product: any, Qty: 1</t>
  </si>
  <si>
    <t>Success message is shown and the cart shows 1 item</t>
  </si>
  <si>
    <t>TC_CART_02</t>
  </si>
  <si>
    <t>Add a product with quantity 2</t>
  </si>
  <si>
    <t>1. Open any product page
2. Set quantity to 2
3. Click Add to Cart</t>
  </si>
  <si>
    <t>Product: any, Qty: 2</t>
  </si>
  <si>
    <t>Cart shows quantity 2 and the total is price x 2</t>
  </si>
  <si>
    <t>TC_CART_03</t>
  </si>
  <si>
    <t>Update quantity in the cart page</t>
  </si>
  <si>
    <t>Cart has 1 product</t>
  </si>
  <si>
    <t>1. Open Shopping Cart
2. Change quantity to 3
3. Click Update</t>
  </si>
  <si>
    <t>Qty: 3</t>
  </si>
  <si>
    <t>Quantity updates and the total is recalculated</t>
  </si>
  <si>
    <t>TC_CART_04</t>
  </si>
  <si>
    <t>Remove a product from the cart</t>
  </si>
  <si>
    <t>Cart has 2 products</t>
  </si>
  <si>
    <t>1. Open Shopping Cart
2. Click Remove on one product</t>
  </si>
  <si>
    <t>One product removed</t>
  </si>
  <si>
    <t>That product disappears and the total is recalculated</t>
  </si>
  <si>
    <t>TC_CART_05</t>
  </si>
  <si>
    <t>Remove the last product (empty cart)</t>
  </si>
  <si>
    <t>1. Open Shopping Cart
2. Click Remove</t>
  </si>
  <si>
    <t>Last item removed</t>
  </si>
  <si>
    <t>A message says the cart is empty</t>
  </si>
  <si>
    <t>TC_CART_06</t>
  </si>
  <si>
    <t>Invalid quantity values</t>
  </si>
  <si>
    <t>1. Open Shopping Cart
2. Enter the test quantity
3. Click Update</t>
  </si>
  <si>
    <t>Qty: 0 , -1 , abc (try each)</t>
  </si>
  <si>
    <t>Invalid quantities are not accepted; 0 removes the item or shows a message</t>
  </si>
  <si>
    <t>Entering quantity 0 and updating the cart did not show a clear validation message and the cart state was changed unexpectedly.</t>
  </si>
  <si>
    <t>EXECUTED - FAIL for practice; verify exact quantity validation behavior.</t>
  </si>
  <si>
    <t>TC_CHK_01</t>
  </si>
  <si>
    <t>Checkout</t>
  </si>
  <si>
    <t>Open checkout with an empty cart</t>
  </si>
  <si>
    <t>Cart is empty</t>
  </si>
  <si>
    <t>1. Make sure the cart is empty
2. Click Checkout</t>
  </si>
  <si>
    <t>Empty cart</t>
  </si>
  <si>
    <t>User is redirected to the cart page or told the cart is empty</t>
  </si>
  <si>
    <t>Opening Checkout with an empty cart displayed the checkout page instead of redirecting the user back to the cart/empty-cart message.</t>
  </si>
  <si>
    <t>EXECUTED - FAIL for practice; verify against the target OpenCart version.</t>
  </si>
  <si>
    <t>TC_CHK_02</t>
  </si>
  <si>
    <t>Apply an invalid coupon code</t>
  </si>
  <si>
    <t>1. Open Shopping Cart
2. Open Use Coupon Code
3. Enter a wrong code
4. Apply</t>
  </si>
  <si>
    <t>Coupon: INVALID123</t>
  </si>
  <si>
    <t>Error says the coupon is invalid; the total does not change</t>
  </si>
  <si>
    <t>TC_CHK_03</t>
  </si>
  <si>
    <t>Checkout with required fields empty</t>
  </si>
  <si>
    <t>1. Click Checkout
2. Choose Guest Checkout
3. Leave required fields empty
4. Continue</t>
  </si>
  <si>
    <t>Required fields empty</t>
  </si>
  <si>
    <t>Error messages are shown for each required field; user cannot proceed</t>
  </si>
  <si>
    <t>TC_CHK_04</t>
  </si>
  <si>
    <t>Checkout flow up to order review</t>
  </si>
  <si>
    <t>1. Click Checkout
2. Fill billing details with valid data
3. Choose delivery and payment method
4. Stop at the order review page</t>
  </si>
  <si>
    <t>Valid test address data</t>
  </si>
  <si>
    <t>Order review page shows correct products, quantities and totals</t>
  </si>
  <si>
    <t>The checkout flow allowed the user to proceed to order review without clearly displaying a required shipping/payment selection or validation message.</t>
  </si>
  <si>
    <t>EXECUTED - FAIL for practice; exact checkout configuration can change this behavior.</t>
  </si>
  <si>
    <t>Test Execution Summary</t>
  </si>
  <si>
    <t>All numbers are formulas. They update automatically from the Test Cases sheet. Edit module names in column A (yellow) to match your modules.</t>
  </si>
  <si>
    <t>Total test cases</t>
  </si>
  <si>
    <t>Passed</t>
  </si>
  <si>
    <t>Failed</t>
  </si>
  <si>
    <t>Blocked</t>
  </si>
  <si>
    <t>Not executed</t>
  </si>
  <si>
    <t>Pass rate</t>
  </si>
  <si>
    <t>Test cases</t>
  </si>
  <si>
    <t>How to use</t>
  </si>
  <si>
    <t>1. Test cases are already written in the Test Cases sheet. Run them one by one on the demo store.</t>
  </si>
  <si>
    <t>2. Use the same Module name as in column A above so the module table counts correctly.</t>
  </si>
  <si>
    <t>3. Pick Status from the dropdown (Pass / Fail / Blocked / Not Executed) after you run the test.</t>
  </si>
  <si>
    <t>4. Copy the final numbers into your GitHub README and resume. Only report what you really executed.</t>
  </si>
  <si>
    <t>Execution Basis</t>
  </si>
  <si>
    <t>Details</t>
  </si>
  <si>
    <t>Purpose</t>
  </si>
  <si>
    <t>8 failed test cases are ASSUMED for manual-testing practice and interview/portfolio preparation.</t>
  </si>
  <si>
    <t>Important</t>
  </si>
  <si>
    <t>These are not claims of defects found on a live OpenCart environment. Execute on the target build before reporting them as actual defects.</t>
  </si>
  <si>
    <t>Failed cases</t>
  </si>
  <si>
    <t>TC_REG_05, TC_REG_08, TC_LOGIN_09, TC_SRCH_05, TC_SRCH_06, TC_CART_06, TC_CHK_01, TC_CHK_04</t>
  </si>
  <si>
    <t>Bug report</t>
  </si>
  <si>
    <t>The separate bug report workbook maps BUG-001 to BUG-008 to these assumed failures.</t>
  </si>
  <si>
    <t>Executed</t>
  </si>
  <si>
    <t xml:space="preserve">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</si>
</sst>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2" borderId="1" xfId="0" applyFont="1" applyFill="1" applyBorder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"/>
  <sheetViews>
    <sheetView tabSelected="1" zoomScale="77" zoomScaleNormal="40" workbookViewId="0">
      <pane ySplit="4" topLeftCell="A5" activePane="bottomLeft" state="frozen"/>
      <selection pane="bottomLeft" activeCell="I39" sqref="I39"/>
    </sheetView>
  </sheetViews>
  <sheetFormatPr defaultColWidth="8.6640625" defaultRowHeight="14.4" x14ac:dyDescent="0.3"/>
  <cols>
    <col min="1" max="1" width="15" customWidth="1"/>
    <col min="2" max="2" width="16" customWidth="1"/>
    <col min="3" max="3" width="42" customWidth="1"/>
    <col min="4" max="4" width="34" customWidth="1"/>
    <col min="5" max="5" width="55" customWidth="1"/>
    <col min="6" max="6" width="45" customWidth="1"/>
    <col min="7" max="7" width="48" customWidth="1"/>
    <col min="8" max="8" width="60" customWidth="1"/>
    <col min="9" max="9" width="15" customWidth="1"/>
    <col min="10" max="10" width="65" customWidth="1"/>
  </cols>
  <sheetData>
    <row r="1" spans="1:10" ht="17.25" customHeight="1" x14ac:dyDescent="0.3">
      <c r="A1" s="1" t="s">
        <v>0</v>
      </c>
    </row>
    <row r="2" spans="1:10" ht="37.5" customHeigh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1.75" customHeigh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27.75" customHeight="1" x14ac:dyDescent="0.3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</row>
    <row r="5" spans="1:10" ht="64.95" customHeight="1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19</v>
      </c>
      <c r="I5" s="2" t="s">
        <v>243</v>
      </c>
      <c r="J5" s="2" t="s">
        <v>20</v>
      </c>
    </row>
    <row r="6" spans="1:10" ht="64.95" customHeight="1" x14ac:dyDescent="0.3">
      <c r="A6" s="2" t="s">
        <v>21</v>
      </c>
      <c r="B6" s="2" t="s">
        <v>14</v>
      </c>
      <c r="C6" s="2" t="s">
        <v>22</v>
      </c>
      <c r="D6" s="2" t="s">
        <v>16</v>
      </c>
      <c r="E6" s="2" t="s">
        <v>23</v>
      </c>
      <c r="F6" s="2" t="s">
        <v>24</v>
      </c>
      <c r="G6" s="2" t="s">
        <v>25</v>
      </c>
      <c r="H6" s="2" t="s">
        <v>25</v>
      </c>
      <c r="I6" s="2" t="s">
        <v>242</v>
      </c>
      <c r="J6" s="2"/>
    </row>
    <row r="7" spans="1:10" ht="64.95" customHeight="1" x14ac:dyDescent="0.3">
      <c r="A7" s="2" t="s">
        <v>26</v>
      </c>
      <c r="B7" s="2" t="s">
        <v>14</v>
      </c>
      <c r="C7" s="2" t="s">
        <v>27</v>
      </c>
      <c r="D7" s="2" t="s">
        <v>16</v>
      </c>
      <c r="E7" s="2" t="s">
        <v>17</v>
      </c>
      <c r="F7" s="2" t="s">
        <v>28</v>
      </c>
      <c r="G7" s="2" t="s">
        <v>29</v>
      </c>
      <c r="H7" s="2" t="s">
        <v>29</v>
      </c>
      <c r="I7" s="2" t="s">
        <v>243</v>
      </c>
      <c r="J7" s="2" t="s">
        <v>30</v>
      </c>
    </row>
    <row r="8" spans="1:10" ht="64.95" customHeight="1" x14ac:dyDescent="0.3">
      <c r="A8" s="2" t="s">
        <v>31</v>
      </c>
      <c r="B8" s="2" t="s">
        <v>14</v>
      </c>
      <c r="C8" s="2" t="s">
        <v>32</v>
      </c>
      <c r="D8" s="2" t="s">
        <v>16</v>
      </c>
      <c r="E8" s="2" t="s">
        <v>17</v>
      </c>
      <c r="F8" s="2" t="s">
        <v>33</v>
      </c>
      <c r="G8" s="2" t="s">
        <v>34</v>
      </c>
      <c r="H8" s="2" t="s">
        <v>34</v>
      </c>
      <c r="I8" s="2" t="s">
        <v>243</v>
      </c>
      <c r="J8" s="2" t="s">
        <v>35</v>
      </c>
    </row>
    <row r="9" spans="1:10" ht="64.95" customHeight="1" x14ac:dyDescent="0.3">
      <c r="A9" s="9" t="s">
        <v>36</v>
      </c>
      <c r="B9" s="9" t="s">
        <v>14</v>
      </c>
      <c r="C9" s="9" t="s">
        <v>37</v>
      </c>
      <c r="D9" s="9" t="s">
        <v>16</v>
      </c>
      <c r="E9" s="9" t="s">
        <v>17</v>
      </c>
      <c r="F9" s="9" t="s">
        <v>38</v>
      </c>
      <c r="G9" s="9" t="s">
        <v>39</v>
      </c>
      <c r="H9" s="9" t="s">
        <v>40</v>
      </c>
      <c r="I9" s="10" t="s">
        <v>41</v>
      </c>
      <c r="J9" s="9" t="s">
        <v>42</v>
      </c>
    </row>
    <row r="10" spans="1:10" ht="64.95" customHeight="1" x14ac:dyDescent="0.3">
      <c r="A10" s="2" t="s">
        <v>43</v>
      </c>
      <c r="B10" s="2" t="s">
        <v>14</v>
      </c>
      <c r="C10" s="2" t="s">
        <v>44</v>
      </c>
      <c r="D10" s="2" t="s">
        <v>16</v>
      </c>
      <c r="E10" s="2" t="s">
        <v>17</v>
      </c>
      <c r="F10" s="2" t="s">
        <v>45</v>
      </c>
      <c r="G10" s="2" t="s">
        <v>46</v>
      </c>
      <c r="H10" s="2" t="s">
        <v>46</v>
      </c>
      <c r="I10" s="2" t="s">
        <v>243</v>
      </c>
      <c r="J10" s="2" t="s">
        <v>47</v>
      </c>
    </row>
    <row r="11" spans="1:10" ht="64.95" customHeight="1" x14ac:dyDescent="0.3">
      <c r="A11" s="2" t="s">
        <v>48</v>
      </c>
      <c r="B11" s="2" t="s">
        <v>14</v>
      </c>
      <c r="C11" s="2" t="s">
        <v>49</v>
      </c>
      <c r="D11" s="2" t="s">
        <v>50</v>
      </c>
      <c r="E11" s="2" t="s">
        <v>17</v>
      </c>
      <c r="F11" s="2" t="s">
        <v>51</v>
      </c>
      <c r="G11" s="2" t="s">
        <v>52</v>
      </c>
      <c r="H11" s="2" t="s">
        <v>52</v>
      </c>
      <c r="I11" s="2" t="s">
        <v>242</v>
      </c>
      <c r="J11" s="2" t="s">
        <v>53</v>
      </c>
    </row>
    <row r="12" spans="1:10" ht="64.95" customHeight="1" x14ac:dyDescent="0.3">
      <c r="A12" s="9" t="s">
        <v>54</v>
      </c>
      <c r="B12" s="9" t="s">
        <v>14</v>
      </c>
      <c r="C12" s="9" t="s">
        <v>55</v>
      </c>
      <c r="D12" s="9" t="s">
        <v>16</v>
      </c>
      <c r="E12" s="9" t="s">
        <v>17</v>
      </c>
      <c r="F12" s="9" t="s">
        <v>56</v>
      </c>
      <c r="G12" s="9" t="s">
        <v>57</v>
      </c>
      <c r="H12" s="9" t="s">
        <v>58</v>
      </c>
      <c r="I12" s="10" t="s">
        <v>41</v>
      </c>
      <c r="J12" s="9" t="s">
        <v>59</v>
      </c>
    </row>
    <row r="13" spans="1:10" ht="64.95" customHeight="1" x14ac:dyDescent="0.3">
      <c r="A13" s="2" t="s">
        <v>60</v>
      </c>
      <c r="B13" s="2" t="s">
        <v>14</v>
      </c>
      <c r="C13" s="2" t="s">
        <v>61</v>
      </c>
      <c r="D13" s="2" t="s">
        <v>16</v>
      </c>
      <c r="E13" s="2" t="s">
        <v>17</v>
      </c>
      <c r="F13" s="2" t="s">
        <v>62</v>
      </c>
      <c r="G13" s="2" t="s">
        <v>34</v>
      </c>
      <c r="H13" s="2" t="s">
        <v>34</v>
      </c>
      <c r="I13" s="2" t="s">
        <v>242</v>
      </c>
      <c r="J13" s="2" t="s">
        <v>63</v>
      </c>
    </row>
    <row r="14" spans="1:10" ht="64.95" customHeight="1" x14ac:dyDescent="0.3">
      <c r="A14" s="2" t="s">
        <v>64</v>
      </c>
      <c r="B14" s="2" t="s">
        <v>14</v>
      </c>
      <c r="C14" s="2" t="s">
        <v>65</v>
      </c>
      <c r="D14" s="2" t="s">
        <v>16</v>
      </c>
      <c r="E14" s="2" t="s">
        <v>66</v>
      </c>
      <c r="F14" s="2" t="s">
        <v>67</v>
      </c>
      <c r="G14" s="2" t="s">
        <v>68</v>
      </c>
      <c r="H14" s="2" t="s">
        <v>68</v>
      </c>
      <c r="I14" s="2" t="s">
        <v>242</v>
      </c>
      <c r="J14" s="2"/>
    </row>
    <row r="15" spans="1:10" ht="64.95" customHeight="1" x14ac:dyDescent="0.3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75</v>
      </c>
      <c r="I15" s="2" t="s">
        <v>242</v>
      </c>
      <c r="J15" s="2"/>
    </row>
    <row r="16" spans="1:10" ht="64.95" customHeight="1" x14ac:dyDescent="0.3">
      <c r="A16" s="2" t="s">
        <v>76</v>
      </c>
      <c r="B16" s="2" t="s">
        <v>70</v>
      </c>
      <c r="C16" s="2" t="s">
        <v>77</v>
      </c>
      <c r="D16" s="2" t="s">
        <v>72</v>
      </c>
      <c r="E16" s="2" t="s">
        <v>73</v>
      </c>
      <c r="F16" s="2" t="s">
        <v>78</v>
      </c>
      <c r="G16" s="2" t="s">
        <v>79</v>
      </c>
      <c r="H16" s="2" t="s">
        <v>79</v>
      </c>
      <c r="I16" s="2" t="s">
        <v>242</v>
      </c>
      <c r="J16" s="2"/>
    </row>
    <row r="17" spans="1:10" ht="64.95" customHeight="1" x14ac:dyDescent="0.3">
      <c r="A17" s="2" t="s">
        <v>80</v>
      </c>
      <c r="B17" s="2" t="s">
        <v>70</v>
      </c>
      <c r="C17" s="2" t="s">
        <v>81</v>
      </c>
      <c r="D17" s="2" t="s">
        <v>82</v>
      </c>
      <c r="E17" s="2" t="s">
        <v>73</v>
      </c>
      <c r="F17" s="2" t="s">
        <v>83</v>
      </c>
      <c r="G17" s="2" t="s">
        <v>84</v>
      </c>
      <c r="H17" s="2" t="s">
        <v>84</v>
      </c>
      <c r="I17" s="2" t="s">
        <v>242</v>
      </c>
      <c r="J17" s="2"/>
    </row>
    <row r="18" spans="1:10" ht="64.95" customHeight="1" x14ac:dyDescent="0.3">
      <c r="A18" s="2" t="s">
        <v>85</v>
      </c>
      <c r="B18" s="2" t="s">
        <v>70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84</v>
      </c>
      <c r="H18" s="2" t="s">
        <v>84</v>
      </c>
      <c r="I18" s="2" t="s">
        <v>242</v>
      </c>
      <c r="J18" s="2"/>
    </row>
    <row r="19" spans="1:10" ht="64.95" customHeight="1" x14ac:dyDescent="0.3">
      <c r="A19" s="2" t="s">
        <v>90</v>
      </c>
      <c r="B19" s="2" t="s">
        <v>70</v>
      </c>
      <c r="C19" s="2" t="s">
        <v>91</v>
      </c>
      <c r="D19" s="2" t="s">
        <v>72</v>
      </c>
      <c r="E19" s="2" t="s">
        <v>73</v>
      </c>
      <c r="F19" s="2" t="s">
        <v>92</v>
      </c>
      <c r="G19" s="2" t="s">
        <v>93</v>
      </c>
      <c r="H19" s="2" t="s">
        <v>93</v>
      </c>
      <c r="I19" s="2" t="s">
        <v>242</v>
      </c>
      <c r="J19" s="2"/>
    </row>
    <row r="20" spans="1:10" ht="64.95" customHeight="1" x14ac:dyDescent="0.3">
      <c r="A20" s="2" t="s">
        <v>94</v>
      </c>
      <c r="B20" s="2" t="s">
        <v>70</v>
      </c>
      <c r="C20" s="2" t="s">
        <v>95</v>
      </c>
      <c r="D20" s="2" t="s">
        <v>72</v>
      </c>
      <c r="E20" s="2" t="s">
        <v>73</v>
      </c>
      <c r="F20" s="2" t="s">
        <v>96</v>
      </c>
      <c r="G20" s="2" t="s">
        <v>97</v>
      </c>
      <c r="H20" s="2" t="s">
        <v>97</v>
      </c>
      <c r="I20" s="2" t="s">
        <v>242</v>
      </c>
      <c r="J20" s="2" t="s">
        <v>98</v>
      </c>
    </row>
    <row r="21" spans="1:10" ht="64.95" customHeight="1" x14ac:dyDescent="0.3">
      <c r="A21" s="2" t="s">
        <v>99</v>
      </c>
      <c r="B21" s="2" t="s">
        <v>70</v>
      </c>
      <c r="C21" s="2" t="s">
        <v>100</v>
      </c>
      <c r="D21" s="2" t="s">
        <v>72</v>
      </c>
      <c r="E21" s="2" t="s">
        <v>101</v>
      </c>
      <c r="F21" s="2" t="s">
        <v>102</v>
      </c>
      <c r="G21" s="2" t="s">
        <v>103</v>
      </c>
      <c r="H21" s="2" t="s">
        <v>103</v>
      </c>
      <c r="I21" s="2" t="s">
        <v>242</v>
      </c>
      <c r="J21" s="2" t="s">
        <v>104</v>
      </c>
    </row>
    <row r="22" spans="1:10" ht="64.95" customHeight="1" x14ac:dyDescent="0.3">
      <c r="A22" s="2" t="s">
        <v>105</v>
      </c>
      <c r="B22" s="2" t="s">
        <v>70</v>
      </c>
      <c r="C22" s="2" t="s">
        <v>106</v>
      </c>
      <c r="D22" s="2" t="s">
        <v>107</v>
      </c>
      <c r="E22" s="2" t="s">
        <v>108</v>
      </c>
      <c r="F22" s="2" t="s">
        <v>109</v>
      </c>
      <c r="G22" s="2" t="s">
        <v>110</v>
      </c>
      <c r="H22" s="2" t="s">
        <v>110</v>
      </c>
      <c r="I22" s="2" t="s">
        <v>242</v>
      </c>
      <c r="J22" s="2"/>
    </row>
    <row r="23" spans="1:10" ht="64.95" customHeight="1" x14ac:dyDescent="0.3">
      <c r="A23" s="9" t="s">
        <v>111</v>
      </c>
      <c r="B23" s="9" t="s">
        <v>70</v>
      </c>
      <c r="C23" s="9" t="s">
        <v>112</v>
      </c>
      <c r="D23" s="9" t="s">
        <v>113</v>
      </c>
      <c r="E23" s="9" t="s">
        <v>114</v>
      </c>
      <c r="F23" s="9" t="s">
        <v>109</v>
      </c>
      <c r="G23" s="9" t="s">
        <v>115</v>
      </c>
      <c r="H23" s="9" t="s">
        <v>116</v>
      </c>
      <c r="I23" s="10" t="s">
        <v>41</v>
      </c>
      <c r="J23" s="9" t="s">
        <v>117</v>
      </c>
    </row>
    <row r="24" spans="1:10" ht="64.95" customHeight="1" x14ac:dyDescent="0.3">
      <c r="A24" s="2" t="s">
        <v>118</v>
      </c>
      <c r="B24" s="2" t="s">
        <v>70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  <c r="H24" s="2" t="s">
        <v>123</v>
      </c>
      <c r="I24" s="2" t="s">
        <v>243</v>
      </c>
      <c r="J24" s="2" t="s">
        <v>124</v>
      </c>
    </row>
    <row r="25" spans="1:10" ht="64.95" customHeight="1" x14ac:dyDescent="0.3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  <c r="G25" s="2" t="s">
        <v>131</v>
      </c>
      <c r="H25" s="2" t="s">
        <v>131</v>
      </c>
      <c r="I25" s="2" t="s">
        <v>243</v>
      </c>
      <c r="J25" s="2"/>
    </row>
    <row r="26" spans="1:10" ht="64.95" customHeight="1" x14ac:dyDescent="0.3">
      <c r="A26" s="2" t="s">
        <v>132</v>
      </c>
      <c r="B26" s="2" t="s">
        <v>126</v>
      </c>
      <c r="C26" s="2" t="s">
        <v>133</v>
      </c>
      <c r="D26" s="2" t="s">
        <v>128</v>
      </c>
      <c r="E26" s="2" t="s">
        <v>129</v>
      </c>
      <c r="F26" s="2" t="s">
        <v>134</v>
      </c>
      <c r="G26" s="2" t="s">
        <v>135</v>
      </c>
      <c r="H26" s="2" t="s">
        <v>135</v>
      </c>
      <c r="I26" s="2" t="s">
        <v>242</v>
      </c>
      <c r="J26" s="2"/>
    </row>
    <row r="27" spans="1:10" ht="64.95" customHeight="1" x14ac:dyDescent="0.3">
      <c r="A27" s="2" t="s">
        <v>136</v>
      </c>
      <c r="B27" s="2" t="s">
        <v>126</v>
      </c>
      <c r="C27" s="2" t="s">
        <v>137</v>
      </c>
      <c r="D27" s="2" t="s">
        <v>128</v>
      </c>
      <c r="E27" s="2" t="s">
        <v>129</v>
      </c>
      <c r="F27" s="2" t="s">
        <v>138</v>
      </c>
      <c r="G27" s="2" t="s">
        <v>139</v>
      </c>
      <c r="H27" s="2" t="s">
        <v>139</v>
      </c>
      <c r="I27" s="2" t="s">
        <v>243</v>
      </c>
      <c r="J27" s="2"/>
    </row>
    <row r="28" spans="1:10" ht="64.95" customHeight="1" x14ac:dyDescent="0.3">
      <c r="A28" s="2" t="s">
        <v>140</v>
      </c>
      <c r="B28" s="2" t="s">
        <v>126</v>
      </c>
      <c r="C28" s="2" t="s">
        <v>141</v>
      </c>
      <c r="D28" s="2" t="s">
        <v>128</v>
      </c>
      <c r="E28" s="2" t="s">
        <v>129</v>
      </c>
      <c r="F28" s="2" t="s">
        <v>142</v>
      </c>
      <c r="G28" s="2" t="s">
        <v>143</v>
      </c>
      <c r="H28" s="2" t="s">
        <v>143</v>
      </c>
      <c r="I28" s="2" t="s">
        <v>243</v>
      </c>
      <c r="J28" s="2"/>
    </row>
    <row r="29" spans="1:10" ht="64.95" customHeight="1" x14ac:dyDescent="0.3">
      <c r="A29" s="9" t="s">
        <v>144</v>
      </c>
      <c r="B29" s="9" t="s">
        <v>126</v>
      </c>
      <c r="C29" s="9" t="s">
        <v>145</v>
      </c>
      <c r="D29" s="9" t="s">
        <v>128</v>
      </c>
      <c r="E29" s="9" t="s">
        <v>146</v>
      </c>
      <c r="F29" s="9" t="s">
        <v>147</v>
      </c>
      <c r="G29" s="9" t="s">
        <v>148</v>
      </c>
      <c r="H29" s="9" t="s">
        <v>149</v>
      </c>
      <c r="I29" s="10" t="s">
        <v>41</v>
      </c>
      <c r="J29" s="9" t="s">
        <v>150</v>
      </c>
    </row>
    <row r="30" spans="1:10" ht="64.95" customHeight="1" x14ac:dyDescent="0.3">
      <c r="A30" s="9" t="s">
        <v>151</v>
      </c>
      <c r="B30" s="9" t="s">
        <v>126</v>
      </c>
      <c r="C30" s="9" t="s">
        <v>152</v>
      </c>
      <c r="D30" s="9" t="s">
        <v>128</v>
      </c>
      <c r="E30" s="9" t="s">
        <v>129</v>
      </c>
      <c r="F30" s="9" t="s">
        <v>153</v>
      </c>
      <c r="G30" s="9" t="s">
        <v>154</v>
      </c>
      <c r="H30" s="9" t="s">
        <v>155</v>
      </c>
      <c r="I30" s="10" t="s">
        <v>41</v>
      </c>
      <c r="J30" s="9" t="s">
        <v>156</v>
      </c>
    </row>
    <row r="31" spans="1:10" ht="64.95" customHeight="1" x14ac:dyDescent="0.3">
      <c r="A31" s="2" t="s">
        <v>157</v>
      </c>
      <c r="B31" s="2" t="s">
        <v>158</v>
      </c>
      <c r="C31" s="2" t="s">
        <v>159</v>
      </c>
      <c r="D31" s="2" t="s">
        <v>128</v>
      </c>
      <c r="E31" s="2" t="s">
        <v>160</v>
      </c>
      <c r="F31" s="2" t="s">
        <v>161</v>
      </c>
      <c r="G31" s="2" t="s">
        <v>162</v>
      </c>
      <c r="H31" s="2" t="s">
        <v>162</v>
      </c>
      <c r="I31" s="2" t="s">
        <v>242</v>
      </c>
      <c r="J31" s="2"/>
    </row>
    <row r="32" spans="1:10" ht="64.95" customHeight="1" x14ac:dyDescent="0.3">
      <c r="A32" s="2" t="s">
        <v>163</v>
      </c>
      <c r="B32" s="2" t="s">
        <v>158</v>
      </c>
      <c r="C32" s="2" t="s">
        <v>164</v>
      </c>
      <c r="D32" s="2" t="s">
        <v>128</v>
      </c>
      <c r="E32" s="2" t="s">
        <v>165</v>
      </c>
      <c r="F32" s="2" t="s">
        <v>166</v>
      </c>
      <c r="G32" s="2" t="s">
        <v>167</v>
      </c>
      <c r="H32" s="2" t="s">
        <v>167</v>
      </c>
      <c r="I32" s="2" t="s">
        <v>242</v>
      </c>
      <c r="J32" s="2"/>
    </row>
    <row r="33" spans="1:10" ht="64.95" customHeight="1" x14ac:dyDescent="0.3">
      <c r="A33" s="2" t="s">
        <v>168</v>
      </c>
      <c r="B33" s="2" t="s">
        <v>158</v>
      </c>
      <c r="C33" s="2" t="s">
        <v>169</v>
      </c>
      <c r="D33" s="2" t="s">
        <v>170</v>
      </c>
      <c r="E33" s="2" t="s">
        <v>171</v>
      </c>
      <c r="F33" s="2" t="s">
        <v>172</v>
      </c>
      <c r="G33" s="2" t="s">
        <v>173</v>
      </c>
      <c r="H33" s="2" t="s">
        <v>173</v>
      </c>
      <c r="I33" s="2" t="s">
        <v>242</v>
      </c>
      <c r="J33" s="2"/>
    </row>
    <row r="34" spans="1:10" ht="64.95" customHeight="1" x14ac:dyDescent="0.3">
      <c r="A34" s="2" t="s">
        <v>174</v>
      </c>
      <c r="B34" s="2" t="s">
        <v>158</v>
      </c>
      <c r="C34" s="2" t="s">
        <v>175</v>
      </c>
      <c r="D34" s="2" t="s">
        <v>176</v>
      </c>
      <c r="E34" s="2" t="s">
        <v>177</v>
      </c>
      <c r="F34" s="2" t="s">
        <v>178</v>
      </c>
      <c r="G34" s="2" t="s">
        <v>179</v>
      </c>
      <c r="H34" s="2" t="s">
        <v>179</v>
      </c>
      <c r="I34" s="2" t="s">
        <v>242</v>
      </c>
      <c r="J34" s="2"/>
    </row>
    <row r="35" spans="1:10" ht="64.95" customHeight="1" x14ac:dyDescent="0.3">
      <c r="A35" s="2" t="s">
        <v>180</v>
      </c>
      <c r="B35" s="2" t="s">
        <v>158</v>
      </c>
      <c r="C35" s="2" t="s">
        <v>181</v>
      </c>
      <c r="D35" s="2" t="s">
        <v>170</v>
      </c>
      <c r="E35" s="2" t="s">
        <v>182</v>
      </c>
      <c r="F35" s="2" t="s">
        <v>183</v>
      </c>
      <c r="G35" s="2" t="s">
        <v>184</v>
      </c>
      <c r="H35" s="2" t="s">
        <v>184</v>
      </c>
      <c r="I35" s="2" t="s">
        <v>242</v>
      </c>
      <c r="J35" s="2"/>
    </row>
    <row r="36" spans="1:10" ht="64.95" customHeight="1" x14ac:dyDescent="0.3">
      <c r="A36" s="9" t="s">
        <v>185</v>
      </c>
      <c r="B36" s="9" t="s">
        <v>158</v>
      </c>
      <c r="C36" s="9" t="s">
        <v>186</v>
      </c>
      <c r="D36" s="9" t="s">
        <v>170</v>
      </c>
      <c r="E36" s="9" t="s">
        <v>187</v>
      </c>
      <c r="F36" s="9" t="s">
        <v>188</v>
      </c>
      <c r="G36" s="9" t="s">
        <v>189</v>
      </c>
      <c r="H36" s="9" t="s">
        <v>190</v>
      </c>
      <c r="I36" s="10" t="s">
        <v>41</v>
      </c>
      <c r="J36" s="9" t="s">
        <v>191</v>
      </c>
    </row>
    <row r="37" spans="1:10" ht="64.95" customHeight="1" x14ac:dyDescent="0.3">
      <c r="A37" s="9" t="s">
        <v>192</v>
      </c>
      <c r="B37" s="9" t="s">
        <v>193</v>
      </c>
      <c r="C37" s="9" t="s">
        <v>194</v>
      </c>
      <c r="D37" s="9" t="s">
        <v>195</v>
      </c>
      <c r="E37" s="9" t="s">
        <v>196</v>
      </c>
      <c r="F37" s="9" t="s">
        <v>197</v>
      </c>
      <c r="G37" s="9" t="s">
        <v>198</v>
      </c>
      <c r="H37" s="9" t="s">
        <v>199</v>
      </c>
      <c r="I37" s="10" t="s">
        <v>41</v>
      </c>
      <c r="J37" s="9" t="s">
        <v>200</v>
      </c>
    </row>
    <row r="38" spans="1:10" ht="64.95" customHeight="1" x14ac:dyDescent="0.3">
      <c r="A38" s="2" t="s">
        <v>201</v>
      </c>
      <c r="B38" s="2" t="s">
        <v>193</v>
      </c>
      <c r="C38" s="2" t="s">
        <v>202</v>
      </c>
      <c r="D38" s="2" t="s">
        <v>170</v>
      </c>
      <c r="E38" s="2" t="s">
        <v>203</v>
      </c>
      <c r="F38" s="2" t="s">
        <v>204</v>
      </c>
      <c r="G38" s="2" t="s">
        <v>205</v>
      </c>
      <c r="H38" s="2" t="s">
        <v>205</v>
      </c>
      <c r="I38" s="2" t="s">
        <v>243</v>
      </c>
      <c r="J38" s="2"/>
    </row>
    <row r="39" spans="1:10" ht="64.95" customHeight="1" x14ac:dyDescent="0.3">
      <c r="A39" s="2" t="s">
        <v>206</v>
      </c>
      <c r="B39" s="2" t="s">
        <v>193</v>
      </c>
      <c r="C39" s="2" t="s">
        <v>207</v>
      </c>
      <c r="D39" s="2" t="s">
        <v>170</v>
      </c>
      <c r="E39" s="2" t="s">
        <v>208</v>
      </c>
      <c r="F39" s="2" t="s">
        <v>209</v>
      </c>
      <c r="G39" s="2" t="s">
        <v>210</v>
      </c>
      <c r="H39" s="2" t="s">
        <v>210</v>
      </c>
      <c r="I39" s="2" t="s">
        <v>243</v>
      </c>
      <c r="J39" s="2"/>
    </row>
    <row r="40" spans="1:10" ht="64.95" customHeight="1" x14ac:dyDescent="0.3">
      <c r="A40" s="9" t="s">
        <v>211</v>
      </c>
      <c r="B40" s="9" t="s">
        <v>193</v>
      </c>
      <c r="C40" s="9" t="s">
        <v>212</v>
      </c>
      <c r="D40" s="9" t="s">
        <v>170</v>
      </c>
      <c r="E40" s="9" t="s">
        <v>213</v>
      </c>
      <c r="F40" s="9" t="s">
        <v>214</v>
      </c>
      <c r="G40" s="9" t="s">
        <v>215</v>
      </c>
      <c r="H40" s="9" t="s">
        <v>216</v>
      </c>
      <c r="I40" s="10" t="s">
        <v>41</v>
      </c>
      <c r="J40" s="9" t="s">
        <v>217</v>
      </c>
    </row>
    <row r="41" spans="1:10" ht="64.9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64.9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64.9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64.9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64.9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64.9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64.9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64.9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64.9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64.9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64.9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64.9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64.9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64.9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64.9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64.9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64.9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64.9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64.9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64.9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64.9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64.9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64.9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64.9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64.9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64.9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64.9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64.9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64.9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64.9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64.9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64.9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64.9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64.9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64.9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64.9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64.9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64.9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64.9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64.9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64.9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64.9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64.9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64.9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64.9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64.9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64.9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64.9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64.9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64.9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64.9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64.9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64.9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64.9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64.9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64.9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64.9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64.9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64.9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64.9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64.9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64.9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64.9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64.9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64.9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64.9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64.9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64.9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64.9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64.9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64.9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64.9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64.9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64.9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64.9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64.9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64.9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64.9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64.9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64.9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64.9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64.9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64.9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64.9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64.9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64.9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64.9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64.9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64.9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64.9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64.9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64.9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64.9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64.9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64.9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64.9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64.9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64.9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64.9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64.9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64.9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64.9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64.9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64.9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64.9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64.9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64.9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64.9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64.9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64.9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64.9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64.9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64.9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64.9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64.9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64.9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64.9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64.9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64.9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64.9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64.9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64.9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64.9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64.9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64.9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64.9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64.9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64.9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64.9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64.9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64.9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64.9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64.9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64.9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64.9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64.9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64.9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64.9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64.9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64.9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64.9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64.9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64.9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64.9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64.9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64.9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64.9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64.9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64.9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64.9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64.9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64.9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64.9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64.9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64.9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64.9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64.9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64.9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64.9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64.9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64.9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64.9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64.9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64.9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</row>
  </sheetData>
  <autoFilter ref="A4:J204" xr:uid="{00000000-0009-0000-0000-000000000000}"/>
  <mergeCells count="2">
    <mergeCell ref="A3:J3"/>
    <mergeCell ref="A2:J2"/>
  </mergeCells>
  <dataValidations count="1">
    <dataValidation type="list" allowBlank="1" sqref="I5:I204" xr:uid="{00000000-0002-0000-0000-000000000000}">
      <formula1>"Pass,Fail,Blocked,Not Executed"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zoomScaleNormal="100" workbookViewId="0"/>
  </sheetViews>
  <sheetFormatPr defaultColWidth="8.6640625" defaultRowHeight="14.4" x14ac:dyDescent="0.3"/>
  <cols>
    <col min="1" max="1" width="26" customWidth="1"/>
    <col min="2" max="4" width="14" customWidth="1"/>
  </cols>
  <sheetData>
    <row r="1" spans="1:4" ht="17.25" customHeight="1" x14ac:dyDescent="0.3">
      <c r="A1" s="1" t="s">
        <v>218</v>
      </c>
    </row>
    <row r="2" spans="1:4" ht="37.5" customHeight="1" x14ac:dyDescent="0.3">
      <c r="A2" s="17" t="s">
        <v>219</v>
      </c>
      <c r="B2" s="16"/>
      <c r="C2" s="16"/>
    </row>
    <row r="4" spans="1:4" ht="15" customHeight="1" x14ac:dyDescent="0.3">
      <c r="A4" s="3" t="s">
        <v>220</v>
      </c>
      <c r="B4" s="4">
        <f>COUNTA('Test Cases'!A5:A34)</f>
        <v>30</v>
      </c>
    </row>
    <row r="5" spans="1:4" ht="15" customHeight="1" x14ac:dyDescent="0.3">
      <c r="A5" s="3" t="s">
        <v>221</v>
      </c>
      <c r="B5" s="4">
        <f>COUNTIF('Test Cases'!I5:I34,"Pass")</f>
        <v>0</v>
      </c>
    </row>
    <row r="6" spans="1:4" ht="15" customHeight="1" x14ac:dyDescent="0.3">
      <c r="A6" s="3" t="s">
        <v>222</v>
      </c>
      <c r="B6" s="4">
        <f>COUNTIF('Test Cases'!I5:I34,"Fail")</f>
        <v>5</v>
      </c>
    </row>
    <row r="7" spans="1:4" ht="15" customHeight="1" x14ac:dyDescent="0.3">
      <c r="A7" s="3" t="s">
        <v>223</v>
      </c>
      <c r="B7" s="4">
        <f>COUNTIF('Test Cases'!I5:I34,"Blocked")</f>
        <v>0</v>
      </c>
    </row>
    <row r="8" spans="1:4" ht="15" customHeight="1" x14ac:dyDescent="0.3">
      <c r="A8" s="3" t="s">
        <v>224</v>
      </c>
      <c r="B8" s="4">
        <f>COUNTIF('Test Cases'!I5:I34,"Not Executed")</f>
        <v>0</v>
      </c>
    </row>
    <row r="9" spans="1:4" ht="15" customHeight="1" x14ac:dyDescent="0.3">
      <c r="A9" s="3" t="s">
        <v>225</v>
      </c>
      <c r="B9" s="5">
        <f>IFERROR(B5/B4,0)</f>
        <v>0</v>
      </c>
    </row>
    <row r="12" spans="1:4" ht="15" customHeight="1" x14ac:dyDescent="0.3">
      <c r="A12" s="11" t="s">
        <v>4</v>
      </c>
      <c r="B12" s="11" t="s">
        <v>226</v>
      </c>
      <c r="C12" s="11" t="s">
        <v>221</v>
      </c>
      <c r="D12" s="12" t="s">
        <v>222</v>
      </c>
    </row>
    <row r="13" spans="1:4" ht="15" customHeight="1" x14ac:dyDescent="0.3">
      <c r="A13" s="6" t="s">
        <v>14</v>
      </c>
      <c r="B13" s="4">
        <f>COUNTIF('Test Cases'!$B$5:$B$34,A13)</f>
        <v>10</v>
      </c>
      <c r="C13" s="4">
        <f>COUNTIFS('Test Cases'!$B$5:$B$34,A13,'Test Cases'!$I$5:$I$34,"Pass")</f>
        <v>0</v>
      </c>
      <c r="D13">
        <f>COUNTIFS('Test Cases'!$B$5:$B$34,A13,'Test Cases'!$I$5:$I$34,"Fail")</f>
        <v>2</v>
      </c>
    </row>
    <row r="14" spans="1:4" ht="15" customHeight="1" x14ac:dyDescent="0.3">
      <c r="A14" s="6" t="s">
        <v>70</v>
      </c>
      <c r="B14" s="4">
        <f>COUNTIF('Test Cases'!$B$5:$B$34,A14)</f>
        <v>10</v>
      </c>
      <c r="C14" s="4">
        <f>COUNTIFS('Test Cases'!$B$5:$B$34,A14,'Test Cases'!$I$5:$I$34,"Pass")</f>
        <v>0</v>
      </c>
      <c r="D14">
        <f>COUNTIFS('Test Cases'!$B$5:$B$34,A14,'Test Cases'!$I$5:$I$34,"Fail")</f>
        <v>1</v>
      </c>
    </row>
    <row r="15" spans="1:4" ht="15" customHeight="1" x14ac:dyDescent="0.3">
      <c r="A15" s="6" t="s">
        <v>126</v>
      </c>
      <c r="B15" s="4">
        <f>COUNTIF('Test Cases'!$B$5:$B$34,A15)</f>
        <v>6</v>
      </c>
      <c r="C15" s="4">
        <f>COUNTIFS('Test Cases'!$B$5:$B$34,A15,'Test Cases'!$I$5:$I$34,"Pass")</f>
        <v>0</v>
      </c>
      <c r="D15">
        <f>COUNTIFS('Test Cases'!$B$5:$B$34,A15,'Test Cases'!$I$5:$I$34,"Fail")</f>
        <v>2</v>
      </c>
    </row>
    <row r="16" spans="1:4" ht="15" customHeight="1" x14ac:dyDescent="0.3">
      <c r="A16" s="6" t="s">
        <v>158</v>
      </c>
      <c r="B16" s="4">
        <f>COUNTIF('Test Cases'!$B$5:$B$34,A16)</f>
        <v>4</v>
      </c>
      <c r="C16" s="4">
        <f>COUNTIFS('Test Cases'!$B$5:$B$34,A16,'Test Cases'!$I$5:$I$34,"Pass")</f>
        <v>0</v>
      </c>
      <c r="D16">
        <f>COUNTIFS('Test Cases'!$B$5:$B$34,A16,'Test Cases'!$I$5:$I$34,"Fail")</f>
        <v>0</v>
      </c>
    </row>
    <row r="17" spans="1:6" ht="15" customHeight="1" x14ac:dyDescent="0.3">
      <c r="A17" s="6" t="s">
        <v>193</v>
      </c>
      <c r="B17" s="4">
        <f>COUNTIF('Test Cases'!$B$5:$B$34,A17)</f>
        <v>0</v>
      </c>
      <c r="C17" s="4">
        <f>COUNTIFS('Test Cases'!$B$5:$B$34,A17,'Test Cases'!$I$5:$I$34,"Pass")</f>
        <v>0</v>
      </c>
      <c r="D17">
        <f>COUNTIFS('Test Cases'!$B$5:$B$34,A17,'Test Cases'!$I$5:$I$34,"Fail")</f>
        <v>0</v>
      </c>
    </row>
    <row r="19" spans="1:6" ht="15" customHeight="1" x14ac:dyDescent="0.3">
      <c r="A19" s="7" t="s">
        <v>227</v>
      </c>
    </row>
    <row r="20" spans="1:6" ht="30" customHeight="1" x14ac:dyDescent="0.3">
      <c r="A20" s="18" t="s">
        <v>228</v>
      </c>
      <c r="B20" s="16"/>
      <c r="C20" s="16"/>
      <c r="D20" s="16"/>
      <c r="E20" s="16"/>
      <c r="F20" s="16"/>
    </row>
    <row r="21" spans="1:6" ht="30" customHeight="1" x14ac:dyDescent="0.3">
      <c r="A21" s="18" t="s">
        <v>229</v>
      </c>
      <c r="B21" s="16"/>
      <c r="C21" s="16"/>
      <c r="D21" s="16"/>
      <c r="E21" s="16"/>
      <c r="F21" s="16"/>
    </row>
    <row r="22" spans="1:6" ht="30" customHeight="1" x14ac:dyDescent="0.3">
      <c r="A22" s="18" t="s">
        <v>230</v>
      </c>
      <c r="B22" s="16"/>
      <c r="C22" s="16"/>
      <c r="D22" s="16"/>
      <c r="E22" s="16"/>
      <c r="F22" s="16"/>
    </row>
    <row r="23" spans="1:6" ht="30" customHeight="1" x14ac:dyDescent="0.3">
      <c r="A23" s="18" t="s">
        <v>231</v>
      </c>
      <c r="B23" s="16"/>
      <c r="C23" s="16"/>
      <c r="D23" s="16"/>
      <c r="E23" s="16"/>
      <c r="F23" s="16"/>
    </row>
  </sheetData>
  <mergeCells count="5">
    <mergeCell ref="A23:F23"/>
    <mergeCell ref="A22:F22"/>
    <mergeCell ref="A20:F20"/>
    <mergeCell ref="A21:F2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10" customWidth="1"/>
  </cols>
  <sheetData>
    <row r="1" spans="1:2" x14ac:dyDescent="0.3">
      <c r="A1" s="13" t="s">
        <v>232</v>
      </c>
      <c r="B1" s="13" t="s">
        <v>233</v>
      </c>
    </row>
    <row r="2" spans="1:2" x14ac:dyDescent="0.3">
      <c r="A2" s="14" t="s">
        <v>234</v>
      </c>
      <c r="B2" s="14" t="s">
        <v>235</v>
      </c>
    </row>
    <row r="3" spans="1:2" ht="28.8" x14ac:dyDescent="0.3">
      <c r="A3" s="14" t="s">
        <v>236</v>
      </c>
      <c r="B3" s="14" t="s">
        <v>237</v>
      </c>
    </row>
    <row r="4" spans="1:2" x14ac:dyDescent="0.3">
      <c r="A4" s="14" t="s">
        <v>238</v>
      </c>
      <c r="B4" s="14" t="s">
        <v>239</v>
      </c>
    </row>
    <row r="5" spans="1:2" x14ac:dyDescent="0.3">
      <c r="A5" s="14" t="s">
        <v>240</v>
      </c>
      <c r="B5" s="14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EXTC Dsy 5 Gauri</cp:lastModifiedBy>
  <cp:revision>0</cp:revision>
  <dcterms:created xsi:type="dcterms:W3CDTF">2026-10-05T05:14:02Z</dcterms:created>
  <dcterms:modified xsi:type="dcterms:W3CDTF">2026-10-05T05:53:25Z</dcterms:modified>
  <dc:language>en-US</dc:language>
</cp:coreProperties>
</file>