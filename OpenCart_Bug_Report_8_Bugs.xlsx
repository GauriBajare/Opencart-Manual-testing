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  <sheet xmlns:r="http://schemas.openxmlformats.org/officeDocument/2006/relationships" name="Defect Summary" sheetId="2" state="visible" r:id="rId2"/>
  </sheets>
  <definedNames>
    <definedName name="_xlnm._FilterDatabase" localSheetId="0" hidden="1">'Bug Report'!$A$1:$Q$9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45" customWidth="1" min="4" max="4"/>
    <col width="12" customWidth="1" min="5" max="5"/>
    <col width="12" customWidth="1" min="6" max="6"/>
    <col width="35" customWidth="1" min="7" max="7"/>
    <col width="35" customWidth="1" min="8" max="8"/>
    <col width="60" customWidth="1" min="9" max="9"/>
    <col width="32" customWidth="1" min="10" max="10"/>
    <col width="48" customWidth="1" min="11" max="11"/>
    <col width="55" customWidth="1" min="12" max="12"/>
    <col width="14" customWidth="1" min="13" max="13"/>
    <col width="45" customWidth="1" min="14" max="14"/>
    <col width="18" customWidth="1" min="15" max="15"/>
    <col width="20" customWidth="1" min="16" max="16"/>
    <col width="18" customWidth="1" min="17" max="17"/>
  </cols>
  <sheetData>
    <row r="1">
      <c r="A1" s="1" t="inlineStr">
        <is>
          <t>Bug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Bug Title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Environment</t>
        </is>
      </c>
      <c r="H1" s="1" t="inlineStr">
        <is>
          <t>Preconditions</t>
        </is>
      </c>
      <c r="I1" s="1" t="inlineStr">
        <is>
          <t>Steps to Reproduce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Assumption / Evidence</t>
        </is>
      </c>
      <c r="O1" s="1" t="inlineStr">
        <is>
          <t>Assigned To</t>
        </is>
      </c>
      <c r="P1" s="1" t="inlineStr">
        <is>
          <t>Reported By</t>
        </is>
      </c>
      <c r="Q1" s="1" t="inlineStr">
        <is>
          <t>Reported Date</t>
        </is>
      </c>
    </row>
    <row r="2" ht="95" customHeight="1">
      <c r="A2" s="2" t="inlineStr">
        <is>
          <t>BUG-001</t>
        </is>
      </c>
      <c r="B2" s="2" t="inlineStr">
        <is>
          <t>TC_REG_05</t>
        </is>
      </c>
      <c r="C2" s="2" t="inlineStr">
        <is>
          <t>Registration</t>
        </is>
      </c>
      <c r="D2" s="2" t="inlineStr">
        <is>
          <t>First Name maximum length validation can be bypassed</t>
        </is>
      </c>
      <c r="E2" s="2" t="inlineStr">
        <is>
          <t>Medium</t>
        </is>
      </c>
      <c r="F2" s="2" t="inlineStr">
        <is>
          <t>Medium</t>
        </is>
      </c>
      <c r="G2" s="2" t="inlineStr">
        <is>
          <t>OpenCart demo/target build - verify version</t>
        </is>
      </c>
      <c r="H2" s="2" t="inlineStr">
        <is>
          <t>User is on Register page</t>
        </is>
      </c>
      <c r="I2" s="2" t="inlineStr">
        <is>
          <t>1. Open Register
2. Enter a 33-character First Name
3. Fill remaining mandatory fields with valid data
4. Accept Privacy Policy
5. Click Continue</t>
        </is>
      </c>
      <c r="J2" s="2" t="inlineStr">
        <is>
          <t>First Name: 33 characters; other fields valid</t>
        </is>
      </c>
      <c r="K2" s="2" t="inlineStr">
        <is>
          <t>Registration should reject a value above the documented maximum and display a validation message.</t>
        </is>
      </c>
      <c r="L2" s="2" t="inlineStr">
        <is>
          <t>33-character First Name was accepted and registration proceeded without a maximum-length validation message.</t>
        </is>
      </c>
      <c r="M2" s="3" t="inlineStr">
        <is>
          <t>Open</t>
        </is>
      </c>
      <c r="N2" s="4" t="inlineStr">
        <is>
          <t>ASSUMED for practice; not live evidence.</t>
        </is>
      </c>
      <c r="O2" s="2" t="inlineStr"/>
      <c r="P2" s="2" t="inlineStr">
        <is>
          <t>Gauri Bajare</t>
        </is>
      </c>
      <c r="Q2" s="2" t="inlineStr">
        <is>
          <t>05-Oct-2026</t>
        </is>
      </c>
    </row>
    <row r="3" ht="95" customHeight="1">
      <c r="A3" s="2" t="inlineStr">
        <is>
          <t>BUG-002</t>
        </is>
      </c>
      <c r="B3" s="2" t="inlineStr">
        <is>
          <t>TC_REG_08</t>
        </is>
      </c>
      <c r="C3" s="2" t="inlineStr">
        <is>
          <t>Registration</t>
        </is>
      </c>
      <c r="D3" s="2" t="inlineStr">
        <is>
          <t>Password shorter than minimum length is accepted</t>
        </is>
      </c>
      <c r="E3" s="2" t="inlineStr">
        <is>
          <t>High</t>
        </is>
      </c>
      <c r="F3" s="2" t="inlineStr">
        <is>
          <t>High</t>
        </is>
      </c>
      <c r="G3" s="2" t="inlineStr">
        <is>
          <t>OpenCart demo/target build - verify version</t>
        </is>
      </c>
      <c r="H3" s="2" t="inlineStr">
        <is>
          <t>User is on Register page</t>
        </is>
      </c>
      <c r="I3" s="2" t="inlineStr">
        <is>
          <t>1. Open Register
2. Enter valid first/last name and email
3. Enter a password shorter than the documented minimum
4. Confirm password
5. Accept Privacy Policy
6. Click Continue</t>
        </is>
      </c>
      <c r="J3" s="2" t="inlineStr">
        <is>
          <t>Short password below expected minimum</t>
        </is>
      </c>
      <c r="K3" s="2" t="inlineStr">
        <is>
          <t>Registration should reject the short password and show a password-length validation message.</t>
        </is>
      </c>
      <c r="L3" s="2" t="inlineStr">
        <is>
          <t>Short password was accepted and no password-length validation message was displayed.</t>
        </is>
      </c>
      <c r="M3" s="3" t="inlineStr">
        <is>
          <t>Open</t>
        </is>
      </c>
      <c r="N3" s="4" t="inlineStr">
        <is>
          <t>ASSUMED for practice; exact minimum may vary.</t>
        </is>
      </c>
      <c r="O3" s="2" t="inlineStr"/>
      <c r="P3" s="2" t="inlineStr">
        <is>
          <t>Gauri Bajare</t>
        </is>
      </c>
      <c r="Q3" s="2" t="inlineStr">
        <is>
          <t>05-Oct-2026</t>
        </is>
      </c>
    </row>
    <row r="4" ht="95" customHeight="1">
      <c r="A4" s="2" t="inlineStr">
        <is>
          <t>BUG-003</t>
        </is>
      </c>
      <c r="B4" s="2" t="inlineStr">
        <is>
          <t>TC_LOGIN_09</t>
        </is>
      </c>
      <c r="C4" s="2" t="inlineStr">
        <is>
          <t>Login</t>
        </is>
      </c>
      <c r="D4" s="2" t="inlineStr">
        <is>
          <t>Browser Back button exposes authenticated My Account page after logout</t>
        </is>
      </c>
      <c r="E4" s="2" t="inlineStr">
        <is>
          <t>High</t>
        </is>
      </c>
      <c r="F4" s="2" t="inlineStr">
        <is>
          <t>High</t>
        </is>
      </c>
      <c r="G4" s="2" t="inlineStr">
        <is>
          <t>OpenCart demo/target build - verify version</t>
        </is>
      </c>
      <c r="H4" s="2" t="inlineStr">
        <is>
          <t>User is logged in</t>
        </is>
      </c>
      <c r="I4" s="2" t="inlineStr">
        <is>
          <t>1. Log in
2. Open My Account
3. Logout
4. Press browser Back button</t>
        </is>
      </c>
      <c r="J4" s="2" t="inlineStr">
        <is>
          <t>Valid registered account</t>
        </is>
      </c>
      <c r="K4" s="2" t="inlineStr">
        <is>
          <t>After logout, protected account content should not be accessible without re-authentication.</t>
        </is>
      </c>
      <c r="L4" s="2" t="inlineStr">
        <is>
          <t>Previously visited My Account page was displayed after pressing Back without requiring login.</t>
        </is>
      </c>
      <c r="M4" s="3" t="inlineStr">
        <is>
          <t>Open</t>
        </is>
      </c>
      <c r="N4" s="4" t="inlineStr">
        <is>
          <t>ASSUMED for practice; verify cache-control behavior.</t>
        </is>
      </c>
      <c r="O4" s="2" t="inlineStr"/>
      <c r="P4" s="2" t="inlineStr">
        <is>
          <t>Gauri Bajare</t>
        </is>
      </c>
      <c r="Q4" s="2" t="inlineStr">
        <is>
          <t>05-Oct-2026</t>
        </is>
      </c>
    </row>
    <row r="5" ht="95" customHeight="1">
      <c r="A5" s="2" t="inlineStr">
        <is>
          <t>BUG-004</t>
        </is>
      </c>
      <c r="B5" s="2" t="inlineStr">
        <is>
          <t>TC_SRCH_05</t>
        </is>
      </c>
      <c r="C5" s="2" t="inlineStr">
        <is>
          <t>Search</t>
        </is>
      </c>
      <c r="D5" s="2" t="inlineStr">
        <is>
          <t>Empty search submission does not show required-keyword validation</t>
        </is>
      </c>
      <c r="E5" s="2" t="inlineStr">
        <is>
          <t>Medium</t>
        </is>
      </c>
      <c r="F5" s="2" t="inlineStr">
        <is>
          <t>Medium</t>
        </is>
      </c>
      <c r="G5" s="2" t="inlineStr">
        <is>
          <t>OpenCart demo/target build - verify version</t>
        </is>
      </c>
      <c r="H5" s="2" t="inlineStr">
        <is>
          <t>Search page is available</t>
        </is>
      </c>
      <c r="I5" s="2" t="inlineStr">
        <is>
          <t>1. Open Search
2. Leave search field empty
3. Click Search</t>
        </is>
      </c>
      <c r="J5" s="2" t="inlineStr">
        <is>
          <t>Search keyword: empty</t>
        </is>
      </c>
      <c r="K5" s="2" t="inlineStr">
        <is>
          <t>System should display a clear validation message or prevent an empty search.</t>
        </is>
      </c>
      <c r="L5" s="2" t="inlineStr">
        <is>
          <t>A product results page loaded instead of showing a clear required-keyword validation message.</t>
        </is>
      </c>
      <c r="M5" s="3" t="inlineStr">
        <is>
          <t>Open</t>
        </is>
      </c>
      <c r="N5" s="4" t="inlineStr">
        <is>
          <t>ASSUMED for practice; verify expected product behavior.</t>
        </is>
      </c>
      <c r="O5" s="2" t="inlineStr"/>
      <c r="P5" s="2" t="inlineStr">
        <is>
          <t>Gauri Bajare</t>
        </is>
      </c>
      <c r="Q5" s="2" t="inlineStr">
        <is>
          <t>05-Oct-2026</t>
        </is>
      </c>
    </row>
    <row r="6" ht="95" customHeight="1">
      <c r="A6" s="2" t="inlineStr">
        <is>
          <t>BUG-005</t>
        </is>
      </c>
      <c r="B6" s="2" t="inlineStr">
        <is>
          <t>TC_SRCH_06</t>
        </is>
      </c>
      <c r="C6" s="2" t="inlineStr">
        <is>
          <t>Search</t>
        </is>
      </c>
      <c r="D6" s="2" t="inlineStr">
        <is>
          <t>Special-character-only search returns results instead of a clear no-result/validation response</t>
        </is>
      </c>
      <c r="E6" s="2" t="inlineStr">
        <is>
          <t>Low</t>
        </is>
      </c>
      <c r="F6" s="2" t="inlineStr">
        <is>
          <t>Medium</t>
        </is>
      </c>
      <c r="G6" s="2" t="inlineStr">
        <is>
          <t>OpenCart demo/target build - verify version</t>
        </is>
      </c>
      <c r="H6" s="2" t="inlineStr">
        <is>
          <t>Search page is available</t>
        </is>
      </c>
      <c r="I6" s="2" t="inlineStr">
        <is>
          <t>1. Open Search
2. Enter only special characters
3. Click Search</t>
        </is>
      </c>
      <c r="J6" s="2" t="inlineStr">
        <is>
          <t>Search: @@@###</t>
        </is>
      </c>
      <c r="K6" s="2" t="inlineStr">
        <is>
          <t>System should safely handle invalid/no-match input and show an appropriate message or no results.</t>
        </is>
      </c>
      <c r="L6" s="2" t="inlineStr">
        <is>
          <t>Search returned product results instead of a clear no-result or invalid-search message.</t>
        </is>
      </c>
      <c r="M6" s="3" t="inlineStr">
        <is>
          <t>Open</t>
        </is>
      </c>
      <c r="N6" s="4" t="inlineStr">
        <is>
          <t>ASSUMED for practice; behavior depends on search configuration.</t>
        </is>
      </c>
      <c r="O6" s="2" t="inlineStr"/>
      <c r="P6" s="2" t="inlineStr">
        <is>
          <t>Gauri Bajare</t>
        </is>
      </c>
      <c r="Q6" s="2" t="inlineStr">
        <is>
          <t>05-Oct-2026</t>
        </is>
      </c>
    </row>
    <row r="7" ht="95" customHeight="1">
      <c r="A7" s="2" t="inlineStr">
        <is>
          <t>BUG-006</t>
        </is>
      </c>
      <c r="B7" s="2" t="inlineStr">
        <is>
          <t>TC_CART_06</t>
        </is>
      </c>
      <c r="C7" s="2" t="inlineStr">
        <is>
          <t>Cart</t>
        </is>
      </c>
      <c r="D7" s="2" t="inlineStr">
        <is>
          <t>Invalid quantity value 0 is accepted without clear validation</t>
        </is>
      </c>
      <c r="E7" s="2" t="inlineStr">
        <is>
          <t>High</t>
        </is>
      </c>
      <c r="F7" s="2" t="inlineStr">
        <is>
          <t>High</t>
        </is>
      </c>
      <c r="G7" s="2" t="inlineStr">
        <is>
          <t>OpenCart demo/target build - verify version</t>
        </is>
      </c>
      <c r="H7" s="2" t="inlineStr">
        <is>
          <t>At least one product is in cart</t>
        </is>
      </c>
      <c r="I7" s="2" t="inlineStr">
        <is>
          <t>1. Open Cart
2. Change quantity to 0
3. Click Update</t>
        </is>
      </c>
      <c r="J7" s="2" t="inlineStr">
        <is>
          <t>Quantity: 0</t>
        </is>
      </c>
      <c r="K7" s="2" t="inlineStr">
        <is>
          <t>System should reject invalid quantity and show a validation message, or remove the item according to defined requirements.</t>
        </is>
      </c>
      <c r="L7" s="2" t="inlineStr">
        <is>
          <t>Quantity 0 did not show a clear validation message and cart state changed unexpectedly.</t>
        </is>
      </c>
      <c r="M7" s="3" t="inlineStr">
        <is>
          <t>Open</t>
        </is>
      </c>
      <c r="N7" s="4" t="inlineStr">
        <is>
          <t>ASSUMED for practice; verify exact quantity rules.</t>
        </is>
      </c>
      <c r="O7" s="2" t="inlineStr"/>
      <c r="P7" s="2" t="inlineStr">
        <is>
          <t>Gauri Bajare</t>
        </is>
      </c>
      <c r="Q7" s="2" t="inlineStr">
        <is>
          <t>05-Oct-2026</t>
        </is>
      </c>
    </row>
    <row r="8" ht="95" customHeight="1">
      <c r="A8" s="2" t="inlineStr">
        <is>
          <t>BUG-007</t>
        </is>
      </c>
      <c r="B8" s="2" t="inlineStr">
        <is>
          <t>TC_CHK_01</t>
        </is>
      </c>
      <c r="C8" s="2" t="inlineStr">
        <is>
          <t>Checkout</t>
        </is>
      </c>
      <c r="D8" s="2" t="inlineStr">
        <is>
          <t>Checkout page is accessible with an empty cart</t>
        </is>
      </c>
      <c r="E8" s="2" t="inlineStr">
        <is>
          <t>Medium</t>
        </is>
      </c>
      <c r="F8" s="2" t="inlineStr">
        <is>
          <t>Medium</t>
        </is>
      </c>
      <c r="G8" s="2" t="inlineStr">
        <is>
          <t>OpenCart demo/target build - verify version</t>
        </is>
      </c>
      <c r="H8" s="2" t="inlineStr">
        <is>
          <t>Cart is empty</t>
        </is>
      </c>
      <c r="I8" s="2" t="inlineStr">
        <is>
          <t>1. Open Cart
2. Confirm cart is empty
3. Click Checkout</t>
        </is>
      </c>
      <c r="J8" s="2" t="inlineStr">
        <is>
          <t>Empty cart</t>
        </is>
      </c>
      <c r="K8" s="2" t="inlineStr">
        <is>
          <t>Checkout should redirect to the empty-cart/cart page and prevent checkout of zero items.</t>
        </is>
      </c>
      <c r="L8" s="2" t="inlineStr">
        <is>
          <t>Checkout page opened instead of redirecting to the cart/empty-cart message.</t>
        </is>
      </c>
      <c r="M8" s="3" t="inlineStr">
        <is>
          <t>Open</t>
        </is>
      </c>
      <c r="N8" s="4" t="inlineStr">
        <is>
          <t>ASSUMED for practice; verify target build.</t>
        </is>
      </c>
      <c r="O8" s="2" t="inlineStr"/>
      <c r="P8" s="2" t="inlineStr">
        <is>
          <t>Gauri Bajare</t>
        </is>
      </c>
      <c r="Q8" s="2" t="inlineStr">
        <is>
          <t>05-Oct-2026</t>
        </is>
      </c>
    </row>
    <row r="9" ht="95" customHeight="1">
      <c r="A9" s="2" t="inlineStr">
        <is>
          <t>BUG-008</t>
        </is>
      </c>
      <c r="B9" s="2" t="inlineStr">
        <is>
          <t>TC_CHK_04</t>
        </is>
      </c>
      <c r="C9" s="2" t="inlineStr">
        <is>
          <t>Checkout</t>
        </is>
      </c>
      <c r="D9" s="2" t="inlineStr">
        <is>
          <t>Order review can be reached without clear shipping/payment validation</t>
        </is>
      </c>
      <c r="E9" s="2" t="inlineStr">
        <is>
          <t>High</t>
        </is>
      </c>
      <c r="F9" s="2" t="inlineStr">
        <is>
          <t>High</t>
        </is>
      </c>
      <c r="G9" s="2" t="inlineStr">
        <is>
          <t>OpenCart demo/target build - verify version</t>
        </is>
      </c>
      <c r="H9" s="2" t="inlineStr">
        <is>
          <t>User has valid cart and checkout details</t>
        </is>
      </c>
      <c r="I9" s="2" t="inlineStr">
        <is>
          <t>1. Add a product
2. Open Checkout
3. Complete required customer/address details
4. Attempt to continue without selecting a required shipping/payment option
5. Observe order review</t>
        </is>
      </c>
      <c r="J9" s="2" t="inlineStr">
        <is>
          <t>Valid cart; required fields otherwise valid</t>
        </is>
      </c>
      <c r="K9" s="2" t="inlineStr">
        <is>
          <t>System should block progress and clearly request any required shipping/payment selection.</t>
        </is>
      </c>
      <c r="L9" s="2" t="inlineStr">
        <is>
          <t>Checkout reached order review without clearly displaying the required selection validation.</t>
        </is>
      </c>
      <c r="M9" s="3" t="inlineStr">
        <is>
          <t>Open</t>
        </is>
      </c>
      <c r="N9" s="4" t="inlineStr">
        <is>
          <t>ASSUMED for practice; checkout configuration can change this behavior.</t>
        </is>
      </c>
      <c r="O9" s="2" t="inlineStr"/>
      <c r="P9" s="2" t="inlineStr">
        <is>
          <t>Gauri Bajare</t>
        </is>
      </c>
      <c r="Q9" s="2" t="inlineStr">
        <is>
          <t>05-Oct-2026</t>
        </is>
      </c>
    </row>
  </sheetData>
  <autoFilter ref="A1:Q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5" t="inlineStr">
        <is>
          <t>Metric</t>
        </is>
      </c>
      <c r="B1" s="5" t="inlineStr">
        <is>
          <t>Count</t>
        </is>
      </c>
    </row>
    <row r="2">
      <c r="A2" s="2" t="inlineStr">
        <is>
          <t>Total Bugs</t>
        </is>
      </c>
      <c r="B2" s="2">
        <f>COUNTA('Bug Report'!A2:A9)</f>
        <v/>
      </c>
    </row>
    <row r="3">
      <c r="A3" s="2" t="inlineStr">
        <is>
          <t>Open</t>
        </is>
      </c>
      <c r="B3" s="2">
        <f>COUNTIF('Bug Report'!M2:M9,"Open")</f>
        <v/>
      </c>
    </row>
    <row r="4">
      <c r="A4" s="2" t="inlineStr">
        <is>
          <t>High Severity</t>
        </is>
      </c>
      <c r="B4" s="2">
        <f>COUNTIF('Bug Report'!E2:E9,"High")</f>
        <v/>
      </c>
    </row>
    <row r="5">
      <c r="A5" s="2" t="inlineStr">
        <is>
          <t>Medium Severity</t>
        </is>
      </c>
      <c r="B5" s="2">
        <f>COUNTIF('Bug Report'!E2:E9,"Medium")</f>
        <v/>
      </c>
    </row>
    <row r="6">
      <c r="A6" s="2" t="inlineStr">
        <is>
          <t>Low Severity</t>
        </is>
      </c>
      <c r="B6" s="2">
        <f>COUNTIF('Bug Report'!E2:E9,"Low")</f>
        <v/>
      </c>
    </row>
    <row r="7">
      <c r="A7" s="2" t="n"/>
      <c r="B7" s="2" t="n"/>
    </row>
    <row r="8">
      <c r="A8" s="2" t="inlineStr">
        <is>
          <t>Important Note</t>
        </is>
      </c>
      <c r="B8" s="2" t="inlineStr">
        <is>
          <t>All 8 defects are assumed for practice and must be re-executed before being reported as actual defects.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2026-10-05T05:32:47Z</dcterms:created>
  <dcterms:modified xmlns:dcterms="http://purl.org/dc/terms/" xmlns:xsi="http://www.w3.org/2001/XMLSchema-instance" xsi:type="dcterms:W3CDTF">2026-10-05T05:32:47Z</dcterms:modified>
</cp:coreProperties>
</file>